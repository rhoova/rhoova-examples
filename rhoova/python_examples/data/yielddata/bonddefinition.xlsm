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ysapd/Desktop/pricingengine/data/yielddata/"/>
    </mc:Choice>
  </mc:AlternateContent>
  <xr:revisionPtr revIDLastSave="0" documentId="13_ncr:1_{2B30F8E6-D807-8048-906D-247C242C7D58}" xr6:coauthVersionLast="36" xr6:coauthVersionMax="36" xr10:uidLastSave="{00000000-0000-0000-0000-000000000000}"/>
  <bookViews>
    <workbookView xWindow="0" yWindow="0" windowWidth="28800" windowHeight="18000" xr2:uid="{B29A1FB7-C876-9042-84D4-0DBDDFA19D78}"/>
  </bookViews>
  <sheets>
    <sheet name="bonddata" sheetId="1" r:id="rId1"/>
    <sheet name="selectedisin" sheetId="2" r:id="rId2"/>
  </sheets>
  <definedNames>
    <definedName name="_xlnm._FilterDatabase" localSheetId="0" hidden="1">bonddata!$A$1:$S$45</definedName>
    <definedName name="_xlnm._FilterDatabase" localSheetId="1" hidden="1">selectedisin!$A$1:$A$47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2" i="1"/>
</calcChain>
</file>

<file path=xl/sharedStrings.xml><?xml version="1.0" encoding="utf-8"?>
<sst xmlns="http://schemas.openxmlformats.org/spreadsheetml/2006/main" count="597" uniqueCount="227">
  <si>
    <t>Issue Date</t>
  </si>
  <si>
    <t>CUSIP</t>
  </si>
  <si>
    <t>Coupon Frequency</t>
  </si>
  <si>
    <t>Coupon Type</t>
  </si>
  <si>
    <t>ISIN</t>
  </si>
  <si>
    <t>Bid Price</t>
  </si>
  <si>
    <t>Ask Yield to Maturity</t>
  </si>
  <si>
    <t>Bid Yield to Maturity</t>
  </si>
  <si>
    <t>Name</t>
  </si>
  <si>
    <t>Ticker</t>
  </si>
  <si>
    <t>Coupon</t>
  </si>
  <si>
    <t>Maturity</t>
  </si>
  <si>
    <t>Maturity Type</t>
  </si>
  <si>
    <t>Country</t>
  </si>
  <si>
    <t>Currency</t>
  </si>
  <si>
    <t>Identifier</t>
  </si>
  <si>
    <t>Bloomberg Composite Rating</t>
  </si>
  <si>
    <t>Ask Price</t>
  </si>
  <si>
    <t>Source</t>
  </si>
  <si>
    <t>900123CM0</t>
  </si>
  <si>
    <t>FIXED</t>
  </si>
  <si>
    <t>US900123CM05</t>
  </si>
  <si>
    <t>Turkey Government International Bond</t>
  </si>
  <si>
    <t>TURKEY</t>
  </si>
  <si>
    <t>AT MATURITY</t>
  </si>
  <si>
    <t>TR</t>
  </si>
  <si>
    <t>USD</t>
  </si>
  <si>
    <t>AN4636584</t>
  </si>
  <si>
    <t>B+</t>
  </si>
  <si>
    <t>BGN</t>
  </si>
  <si>
    <t>900123DC1</t>
  </si>
  <si>
    <t>US900123DC14</t>
  </si>
  <si>
    <t>BN6181273</t>
  </si>
  <si>
    <t>900123AW0</t>
  </si>
  <si>
    <t>US900123AW05</t>
  </si>
  <si>
    <t>ED7777532</t>
  </si>
  <si>
    <t>900123DB3</t>
  </si>
  <si>
    <t>US900123DB31</t>
  </si>
  <si>
    <t>BN6181265</t>
  </si>
  <si>
    <t>900123DA5</t>
  </si>
  <si>
    <t>US900123DA57</t>
  </si>
  <si>
    <t>BM7297088</t>
  </si>
  <si>
    <t>NR</t>
  </si>
  <si>
    <t>900123AY6</t>
  </si>
  <si>
    <t>US900123AY60</t>
  </si>
  <si>
    <t>EF2315614</t>
  </si>
  <si>
    <t>900123CB4</t>
  </si>
  <si>
    <t>US900123CB40</t>
  </si>
  <si>
    <t>EJ6288264</t>
  </si>
  <si>
    <t>900123BZ2</t>
  </si>
  <si>
    <t>US900123BZ27</t>
  </si>
  <si>
    <t>EI9661808</t>
  </si>
  <si>
    <t>900123AL4</t>
  </si>
  <si>
    <t>US900123AL40</t>
  </si>
  <si>
    <t>EC2149440</t>
  </si>
  <si>
    <t>900123CG3</t>
  </si>
  <si>
    <t>US900123CG37</t>
  </si>
  <si>
    <t>EK0729922</t>
  </si>
  <si>
    <t>900123BJ8</t>
  </si>
  <si>
    <t>US900123BJ84</t>
  </si>
  <si>
    <t>EI5302159</t>
  </si>
  <si>
    <t>900123AT7</t>
  </si>
  <si>
    <t>US900123AT75</t>
  </si>
  <si>
    <t>ED2832878</t>
  </si>
  <si>
    <t>EJ9210190</t>
  </si>
  <si>
    <t>XS0993155398</t>
  </si>
  <si>
    <t>EUR</t>
  </si>
  <si>
    <t>AN8659657</t>
  </si>
  <si>
    <t>XS1629918415</t>
  </si>
  <si>
    <t>AV5471330</t>
  </si>
  <si>
    <t>XS1909184753</t>
  </si>
  <si>
    <t>900123CT5</t>
  </si>
  <si>
    <t>US900123CT57</t>
  </si>
  <si>
    <t>AW6148059</t>
  </si>
  <si>
    <t>900123CJ7</t>
  </si>
  <si>
    <t>US900123CJ75</t>
  </si>
  <si>
    <t>EK8487622</t>
  </si>
  <si>
    <t>900123CY4</t>
  </si>
  <si>
    <t>US900123CY43</t>
  </si>
  <si>
    <t>ZP9404788</t>
  </si>
  <si>
    <t>900123BY5</t>
  </si>
  <si>
    <t>US900123BY51</t>
  </si>
  <si>
    <t>EI8461705</t>
  </si>
  <si>
    <t>900123CZ1</t>
  </si>
  <si>
    <t>US900123CZ18</t>
  </si>
  <si>
    <t>ZO8200024</t>
  </si>
  <si>
    <t>900123CR9</t>
  </si>
  <si>
    <t>US900123CR91</t>
  </si>
  <si>
    <t>AV0743899</t>
  </si>
  <si>
    <t>900123CA6</t>
  </si>
  <si>
    <t>US900123CA66</t>
  </si>
  <si>
    <t>EJ5069251</t>
  </si>
  <si>
    <t>900123CV0</t>
  </si>
  <si>
    <t>US900123CV04</t>
  </si>
  <si>
    <t>AZ4623783</t>
  </si>
  <si>
    <t>900123CK4</t>
  </si>
  <si>
    <t>US900123CK49</t>
  </si>
  <si>
    <t>JK3225535</t>
  </si>
  <si>
    <t>900123CP3</t>
  </si>
  <si>
    <t>US900123CP36</t>
  </si>
  <si>
    <t>AQ6920161</t>
  </si>
  <si>
    <t>900123CX6</t>
  </si>
  <si>
    <t>US900123CX69</t>
  </si>
  <si>
    <t>ZP9404762</t>
  </si>
  <si>
    <t>900123CW8</t>
  </si>
  <si>
    <t>US900123CW86</t>
  </si>
  <si>
    <t>ZQ4978800</t>
  </si>
  <si>
    <t>900123CL2</t>
  </si>
  <si>
    <t>US900123CL22</t>
  </si>
  <si>
    <t>AM2059328</t>
  </si>
  <si>
    <t>EK1721514</t>
  </si>
  <si>
    <t>XS1057340009</t>
  </si>
  <si>
    <t>900123CF5</t>
  </si>
  <si>
    <t>US900123CF53</t>
  </si>
  <si>
    <t>EK0411935</t>
  </si>
  <si>
    <t>900123BB5</t>
  </si>
  <si>
    <t>US900123BB58</t>
  </si>
  <si>
    <t>EH2386843</t>
  </si>
  <si>
    <t>900123BG4</t>
  </si>
  <si>
    <t>US900123BG46</t>
  </si>
  <si>
    <t>EI0994471</t>
  </si>
  <si>
    <t>900123BH2</t>
  </si>
  <si>
    <t>US900123BH29</t>
  </si>
  <si>
    <t>EI1855820</t>
  </si>
  <si>
    <t>900123CQ1</t>
  </si>
  <si>
    <t>US900123CQ19</t>
  </si>
  <si>
    <t>AS2461893</t>
  </si>
  <si>
    <t>AW8999533</t>
  </si>
  <si>
    <t>XS1843443356</t>
  </si>
  <si>
    <t>EJ8676946</t>
  </si>
  <si>
    <t>XS0976893932</t>
  </si>
  <si>
    <t>TRY</t>
  </si>
  <si>
    <t>#N/A N/A</t>
  </si>
  <si>
    <t>BVAL</t>
  </si>
  <si>
    <t>900123CH1</t>
  </si>
  <si>
    <t>US900123CH10</t>
  </si>
  <si>
    <t>EK1706275</t>
  </si>
  <si>
    <t>EK4524691</t>
  </si>
  <si>
    <t>JP579200AEM8</t>
  </si>
  <si>
    <t>JPY</t>
  </si>
  <si>
    <t>900123CE8</t>
  </si>
  <si>
    <t>US900123CE88</t>
  </si>
  <si>
    <t>EK1729806</t>
  </si>
  <si>
    <t>900123CN8</t>
  </si>
  <si>
    <t>US900123CN87</t>
  </si>
  <si>
    <t>AO6645722</t>
  </si>
  <si>
    <t>EI6053504</t>
  </si>
  <si>
    <t>JP579200ABF8</t>
  </si>
  <si>
    <t>EJ5373125</t>
  </si>
  <si>
    <t>JP579200ADE7</t>
  </si>
  <si>
    <t>EJ0369532</t>
  </si>
  <si>
    <t>JP579200ACF6</t>
  </si>
  <si>
    <t>900123CD0</t>
  </si>
  <si>
    <t>US900123CD06</t>
  </si>
  <si>
    <t>EJ8676888</t>
  </si>
  <si>
    <t>Tenor</t>
  </si>
  <si>
    <t>Description</t>
  </si>
  <si>
    <t>Price</t>
  </si>
  <si>
    <t>Yield</t>
  </si>
  <si>
    <t>Update</t>
  </si>
  <si>
    <t>1Y</t>
  </si>
  <si>
    <t>EI846170@BGN  Corp</t>
  </si>
  <si>
    <t>TURKEY 5 ⅛ 03/25/22  Corp</t>
  </si>
  <si>
    <t>102.2565 </t>
  </si>
  <si>
    <t>2.9148 </t>
  </si>
  <si>
    <t>BGN </t>
  </si>
  <si>
    <t>2Y</t>
  </si>
  <si>
    <t>EJ506925@BGN  Corp</t>
  </si>
  <si>
    <t>TURKEY 3 ¼ 03/23/23  Corp</t>
  </si>
  <si>
    <t>99.39 </t>
  </si>
  <si>
    <t>3.5624 </t>
  </si>
  <si>
    <t>3Y</t>
  </si>
  <si>
    <t>AZ462378@BGN  Corp</t>
  </si>
  <si>
    <t>TURKEY 6.35 08/10/24 Corp</t>
  </si>
  <si>
    <t>105.9575 </t>
  </si>
  <si>
    <t>4.4513 </t>
  </si>
  <si>
    <t>4Y</t>
  </si>
  <si>
    <t>ZP940476@BGN  Corp</t>
  </si>
  <si>
    <t>TURKEY 4 ¼ 03/13/25  Corp</t>
  </si>
  <si>
    <t>98.5415 </t>
  </si>
  <si>
    <t>4.6529 </t>
  </si>
  <si>
    <t>5Y</t>
  </si>
  <si>
    <t>EK848762@BGN  Corp</t>
  </si>
  <si>
    <t>TURKEY 4 ¼ 04/14/26  Corp</t>
  </si>
  <si>
    <t>96.7405 </t>
  </si>
  <si>
    <t>4.9813 </t>
  </si>
  <si>
    <t>6Y</t>
  </si>
  <si>
    <t>AM205932@BGN  Corp</t>
  </si>
  <si>
    <t>TURKEY 6 03/25/27 Corp</t>
  </si>
  <si>
    <t>103.252 </t>
  </si>
  <si>
    <t>5.3624 </t>
  </si>
  <si>
    <t>7Y</t>
  </si>
  <si>
    <t>AQ692016@BGN  Corp</t>
  </si>
  <si>
    <t>TURKEY 5 ⅛ 02/17/28  Corp</t>
  </si>
  <si>
    <t>97.88 </t>
  </si>
  <si>
    <t>5.496 </t>
  </si>
  <si>
    <t>8Y</t>
  </si>
  <si>
    <t>AW614805@BGN  Corp</t>
  </si>
  <si>
    <t>TURKEY 7 ⅝ 04/26/29  Corp</t>
  </si>
  <si>
    <t>110.538 </t>
  </si>
  <si>
    <t>5.9686 </t>
  </si>
  <si>
    <t>9Y</t>
  </si>
  <si>
    <t>ZP940478@BGN  Corp</t>
  </si>
  <si>
    <t>TURKEY 5 ¼ 03/13/30  Corp</t>
  </si>
  <si>
    <t>94.9505 </t>
  </si>
  <si>
    <t>5.983 </t>
  </si>
  <si>
    <t>10Y</t>
  </si>
  <si>
    <t>BM729708@BGN  Corp</t>
  </si>
  <si>
    <t>TURKEY 5.95 01/15/31 Corp</t>
  </si>
  <si>
    <t>98.3245 </t>
  </si>
  <si>
    <t>6.1763 </t>
  </si>
  <si>
    <t>15Y</t>
  </si>
  <si>
    <t>EF231561@BGN  Corp</t>
  </si>
  <si>
    <t>TURKEY 6 ⅞ 03/17/36  Corp</t>
  </si>
  <si>
    <t>101.7875 </t>
  </si>
  <si>
    <t>6.6844 </t>
  </si>
  <si>
    <t>20Y</t>
  </si>
  <si>
    <t>EI099447@BGN  Corp</t>
  </si>
  <si>
    <t>TURKEY 6 ¾ 05/30/40  Corp</t>
  </si>
  <si>
    <t>97.992 </t>
  </si>
  <si>
    <t>6.9395 </t>
  </si>
  <si>
    <t>25Y</t>
  </si>
  <si>
    <t>EK072992@BGN  Corp</t>
  </si>
  <si>
    <t>TURKEY 6 ⅝ 02/17/45  Corp</t>
  </si>
  <si>
    <t>94.8705 </t>
  </si>
  <si>
    <t>7.0721 </t>
  </si>
  <si>
    <t>Mid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</si>
</sst>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2" fillId="0" borderId="0" xfId="0" applyFont="1"/>
    <xf numFmtId="0" fontId="3" fillId="0" borderId="0" xfId="0" applyFont="1"/>
    <xf numFmtId="1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70EC-3BD0-6745-BBF1-E2D34F555AD9}">
  <dimension ref="A1:T45"/>
  <sheetViews>
    <sheetView tabSelected="1" topLeftCell="B1" workbookViewId="0">
      <selection activeCell="N10" sqref="N10"/>
    </sheetView>
  </sheetViews>
  <sheetFormatPr baseColWidth="10" defaultRowHeight="16"/>
  <cols>
    <col min="1" max="1" width="10.83203125" style="2"/>
    <col min="12" max="12" width="10.83203125" style="1"/>
  </cols>
  <sheetData>
    <row r="1" spans="1:20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226</v>
      </c>
    </row>
    <row r="2" spans="1:20">
      <c r="A2" s="2">
        <v>42866</v>
      </c>
      <c r="B2" t="s">
        <v>19</v>
      </c>
      <c r="C2">
        <v>2</v>
      </c>
      <c r="D2" t="s">
        <v>20</v>
      </c>
      <c r="E2" t="s">
        <v>21</v>
      </c>
      <c r="F2">
        <v>85.793000000000006</v>
      </c>
      <c r="G2">
        <v>6.8701995130000002</v>
      </c>
      <c r="H2">
        <v>6.9329319979999999</v>
      </c>
      <c r="I2" t="s">
        <v>22</v>
      </c>
      <c r="J2" t="s">
        <v>23</v>
      </c>
      <c r="K2">
        <v>5.75</v>
      </c>
      <c r="L2" s="1">
        <v>53823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86.466999999999999</v>
      </c>
      <c r="S2" t="s">
        <v>29</v>
      </c>
      <c r="T2">
        <f>(F2+R2)/2</f>
        <v>86.13</v>
      </c>
    </row>
    <row r="3" spans="1:20">
      <c r="A3" s="2">
        <v>44222</v>
      </c>
      <c r="B3" t="s">
        <v>30</v>
      </c>
      <c r="C3">
        <v>2</v>
      </c>
      <c r="D3" t="s">
        <v>20</v>
      </c>
      <c r="E3" t="s">
        <v>31</v>
      </c>
      <c r="F3">
        <v>97.046000000000006</v>
      </c>
      <c r="G3">
        <v>6.1885967820000003</v>
      </c>
      <c r="H3">
        <v>6.2684032609999996</v>
      </c>
      <c r="I3" t="s">
        <v>22</v>
      </c>
      <c r="J3" t="s">
        <v>23</v>
      </c>
      <c r="K3">
        <v>5.875</v>
      </c>
      <c r="L3" s="1">
        <v>48025</v>
      </c>
      <c r="M3" t="s">
        <v>24</v>
      </c>
      <c r="N3" t="s">
        <v>25</v>
      </c>
      <c r="O3" t="s">
        <v>26</v>
      </c>
      <c r="P3" t="s">
        <v>32</v>
      </c>
      <c r="Q3" t="s">
        <v>28</v>
      </c>
      <c r="R3">
        <v>97.635999999999996</v>
      </c>
      <c r="S3" t="s">
        <v>29</v>
      </c>
      <c r="T3">
        <f t="shared" ref="T3:T45" si="0">(F3+R3)/2</f>
        <v>97.341000000000008</v>
      </c>
    </row>
    <row r="4" spans="1:20">
      <c r="A4" s="2">
        <v>38376</v>
      </c>
      <c r="B4" t="s">
        <v>33</v>
      </c>
      <c r="C4">
        <v>2</v>
      </c>
      <c r="D4" t="s">
        <v>20</v>
      </c>
      <c r="E4" t="s">
        <v>34</v>
      </c>
      <c r="F4">
        <v>109.58199999999999</v>
      </c>
      <c r="G4">
        <v>4.5373495779999997</v>
      </c>
      <c r="H4">
        <v>4.6612396470000004</v>
      </c>
      <c r="I4" t="s">
        <v>22</v>
      </c>
      <c r="J4" t="s">
        <v>23</v>
      </c>
      <c r="K4">
        <v>7.375</v>
      </c>
      <c r="L4" s="1">
        <v>45693</v>
      </c>
      <c r="M4" t="s">
        <v>24</v>
      </c>
      <c r="N4" t="s">
        <v>25</v>
      </c>
      <c r="O4" t="s">
        <v>26</v>
      </c>
      <c r="P4" t="s">
        <v>35</v>
      </c>
      <c r="Q4" t="s">
        <v>28</v>
      </c>
      <c r="R4">
        <v>110.04600000000001</v>
      </c>
      <c r="S4" t="s">
        <v>29</v>
      </c>
      <c r="T4">
        <f t="shared" si="0"/>
        <v>109.81399999999999</v>
      </c>
    </row>
    <row r="5" spans="1:20">
      <c r="A5" s="2">
        <v>44222</v>
      </c>
      <c r="B5" t="s">
        <v>36</v>
      </c>
      <c r="C5">
        <v>2</v>
      </c>
      <c r="D5" t="s">
        <v>20</v>
      </c>
      <c r="E5" t="s">
        <v>37</v>
      </c>
      <c r="F5">
        <v>98.906000000000006</v>
      </c>
      <c r="G5">
        <v>4.8863611520000001</v>
      </c>
      <c r="H5">
        <v>5.004176738</v>
      </c>
      <c r="I5" t="s">
        <v>22</v>
      </c>
      <c r="J5" t="s">
        <v>23</v>
      </c>
      <c r="K5">
        <v>4.75</v>
      </c>
      <c r="L5" s="1">
        <v>46048</v>
      </c>
      <c r="M5" t="s">
        <v>24</v>
      </c>
      <c r="N5" t="s">
        <v>25</v>
      </c>
      <c r="O5" t="s">
        <v>26</v>
      </c>
      <c r="P5" t="s">
        <v>38</v>
      </c>
      <c r="Q5" t="s">
        <v>28</v>
      </c>
      <c r="R5">
        <v>99.409000000000006</v>
      </c>
      <c r="S5" t="s">
        <v>29</v>
      </c>
      <c r="T5">
        <f t="shared" si="0"/>
        <v>99.157499999999999</v>
      </c>
    </row>
    <row r="6" spans="1:20">
      <c r="A6" s="2">
        <v>44167</v>
      </c>
      <c r="B6" t="s">
        <v>39</v>
      </c>
      <c r="C6">
        <v>2</v>
      </c>
      <c r="D6" t="s">
        <v>20</v>
      </c>
      <c r="E6" t="s">
        <v>40</v>
      </c>
      <c r="F6">
        <v>98.027000000000001</v>
      </c>
      <c r="G6">
        <v>6.1351509689999997</v>
      </c>
      <c r="H6">
        <v>6.2174870100000001</v>
      </c>
      <c r="I6" t="s">
        <v>22</v>
      </c>
      <c r="J6" t="s">
        <v>23</v>
      </c>
      <c r="K6">
        <v>5.95</v>
      </c>
      <c r="L6" s="1">
        <v>47863</v>
      </c>
      <c r="M6" t="s">
        <v>24</v>
      </c>
      <c r="N6" t="s">
        <v>25</v>
      </c>
      <c r="O6" t="s">
        <v>26</v>
      </c>
      <c r="P6" t="s">
        <v>41</v>
      </c>
      <c r="Q6" t="s">
        <v>42</v>
      </c>
      <c r="R6">
        <v>98.622</v>
      </c>
      <c r="S6" t="s">
        <v>29</v>
      </c>
      <c r="T6">
        <f t="shared" si="0"/>
        <v>98.3245</v>
      </c>
    </row>
    <row r="7" spans="1:20">
      <c r="A7" s="2">
        <v>38734</v>
      </c>
      <c r="B7" t="s">
        <v>43</v>
      </c>
      <c r="C7">
        <v>2</v>
      </c>
      <c r="D7" t="s">
        <v>20</v>
      </c>
      <c r="E7" t="s">
        <v>44</v>
      </c>
      <c r="F7">
        <v>101.473</v>
      </c>
      <c r="G7">
        <v>6.6513277080000002</v>
      </c>
      <c r="H7">
        <v>6.7175214280000004</v>
      </c>
      <c r="I7" t="s">
        <v>22</v>
      </c>
      <c r="J7" t="s">
        <v>23</v>
      </c>
      <c r="K7">
        <v>6.875</v>
      </c>
      <c r="L7" s="1">
        <v>49751</v>
      </c>
      <c r="M7" t="s">
        <v>24</v>
      </c>
      <c r="N7" t="s">
        <v>25</v>
      </c>
      <c r="O7" t="s">
        <v>26</v>
      </c>
      <c r="P7" t="s">
        <v>45</v>
      </c>
      <c r="Q7" t="s">
        <v>28</v>
      </c>
      <c r="R7">
        <v>102.102</v>
      </c>
      <c r="S7" t="s">
        <v>29</v>
      </c>
      <c r="T7">
        <f t="shared" si="0"/>
        <v>101.78749999999999</v>
      </c>
    </row>
    <row r="8" spans="1:20">
      <c r="A8" s="2">
        <v>41380</v>
      </c>
      <c r="B8" t="s">
        <v>46</v>
      </c>
      <c r="C8">
        <v>2</v>
      </c>
      <c r="D8" t="s">
        <v>20</v>
      </c>
      <c r="E8" t="s">
        <v>47</v>
      </c>
      <c r="F8">
        <v>79.442999999999998</v>
      </c>
      <c r="G8">
        <v>6.5941397899999998</v>
      </c>
      <c r="H8">
        <v>6.6648947549999997</v>
      </c>
      <c r="I8" t="s">
        <v>22</v>
      </c>
      <c r="J8" t="s">
        <v>23</v>
      </c>
      <c r="K8">
        <v>4.875</v>
      </c>
      <c r="L8" s="1">
        <v>52337</v>
      </c>
      <c r="M8" t="s">
        <v>24</v>
      </c>
      <c r="N8" t="s">
        <v>25</v>
      </c>
      <c r="O8" t="s">
        <v>26</v>
      </c>
      <c r="P8" t="s">
        <v>48</v>
      </c>
      <c r="Q8" t="s">
        <v>28</v>
      </c>
      <c r="R8">
        <v>80.137</v>
      </c>
      <c r="S8" t="s">
        <v>29</v>
      </c>
      <c r="T8">
        <f t="shared" si="0"/>
        <v>79.789999999999992</v>
      </c>
    </row>
    <row r="9" spans="1:20">
      <c r="A9" s="2">
        <v>40934</v>
      </c>
      <c r="B9" t="s">
        <v>49</v>
      </c>
      <c r="C9">
        <v>2</v>
      </c>
      <c r="D9" t="s">
        <v>20</v>
      </c>
      <c r="E9" t="s">
        <v>50</v>
      </c>
      <c r="F9">
        <v>103.92700000000001</v>
      </c>
      <c r="G9">
        <v>3.2190588710000001</v>
      </c>
      <c r="H9">
        <v>3.615767993</v>
      </c>
      <c r="I9" t="s">
        <v>22</v>
      </c>
      <c r="J9" t="s">
        <v>23</v>
      </c>
      <c r="K9">
        <v>6.25</v>
      </c>
      <c r="L9" s="1">
        <v>44830</v>
      </c>
      <c r="M9" t="s">
        <v>24</v>
      </c>
      <c r="N9" t="s">
        <v>25</v>
      </c>
      <c r="O9" t="s">
        <v>26</v>
      </c>
      <c r="P9" t="s">
        <v>51</v>
      </c>
      <c r="Q9" t="s">
        <v>28</v>
      </c>
      <c r="R9">
        <v>104.53700000000001</v>
      </c>
      <c r="S9" t="s">
        <v>29</v>
      </c>
      <c r="T9">
        <f t="shared" si="0"/>
        <v>104.232</v>
      </c>
    </row>
    <row r="10" spans="1:20">
      <c r="A10" s="2">
        <v>36543</v>
      </c>
      <c r="B10" t="s">
        <v>52</v>
      </c>
      <c r="C10">
        <v>2</v>
      </c>
      <c r="D10" t="s">
        <v>20</v>
      </c>
      <c r="E10" t="s">
        <v>53</v>
      </c>
      <c r="F10">
        <v>139.744</v>
      </c>
      <c r="G10">
        <v>5.9254992099999999</v>
      </c>
      <c r="H10">
        <v>6.0149419479999997</v>
      </c>
      <c r="I10" t="s">
        <v>22</v>
      </c>
      <c r="J10" t="s">
        <v>23</v>
      </c>
      <c r="K10">
        <v>11.875</v>
      </c>
      <c r="L10" s="1">
        <v>47498</v>
      </c>
      <c r="M10" t="s">
        <v>24</v>
      </c>
      <c r="N10" t="s">
        <v>25</v>
      </c>
      <c r="O10" t="s">
        <v>26</v>
      </c>
      <c r="P10" t="s">
        <v>54</v>
      </c>
      <c r="Q10" t="s">
        <v>28</v>
      </c>
      <c r="R10">
        <v>140.50200000000001</v>
      </c>
      <c r="S10" t="s">
        <v>29</v>
      </c>
      <c r="T10">
        <f t="shared" si="0"/>
        <v>140.12299999999999</v>
      </c>
    </row>
    <row r="11" spans="1:20">
      <c r="A11" s="2">
        <v>41689</v>
      </c>
      <c r="B11" t="s">
        <v>55</v>
      </c>
      <c r="C11">
        <v>2</v>
      </c>
      <c r="D11" t="s">
        <v>20</v>
      </c>
      <c r="E11" t="s">
        <v>56</v>
      </c>
      <c r="F11">
        <v>94.492000000000004</v>
      </c>
      <c r="G11">
        <v>7.0377416960000003</v>
      </c>
      <c r="H11">
        <v>7.1064677989999998</v>
      </c>
      <c r="I11" t="s">
        <v>22</v>
      </c>
      <c r="J11" t="s">
        <v>23</v>
      </c>
      <c r="K11">
        <v>6.625</v>
      </c>
      <c r="L11" s="1">
        <v>53010</v>
      </c>
      <c r="M11" t="s">
        <v>24</v>
      </c>
      <c r="N11" t="s">
        <v>25</v>
      </c>
      <c r="O11" t="s">
        <v>26</v>
      </c>
      <c r="P11" t="s">
        <v>57</v>
      </c>
      <c r="Q11" t="s">
        <v>28</v>
      </c>
      <c r="R11">
        <v>95.248999999999995</v>
      </c>
      <c r="S11" t="s">
        <v>29</v>
      </c>
      <c r="T11">
        <f t="shared" si="0"/>
        <v>94.870499999999993</v>
      </c>
    </row>
    <row r="12" spans="1:20">
      <c r="A12" s="2">
        <v>40555</v>
      </c>
      <c r="B12" t="s">
        <v>58</v>
      </c>
      <c r="C12">
        <v>2</v>
      </c>
      <c r="D12" t="s">
        <v>20</v>
      </c>
      <c r="E12" t="s">
        <v>59</v>
      </c>
      <c r="F12">
        <v>89.512</v>
      </c>
      <c r="G12">
        <v>6.8869280670000004</v>
      </c>
      <c r="H12">
        <v>6.9834909549999997</v>
      </c>
      <c r="I12" t="s">
        <v>22</v>
      </c>
      <c r="J12" t="s">
        <v>23</v>
      </c>
      <c r="K12">
        <v>6</v>
      </c>
      <c r="L12" s="1">
        <v>51515</v>
      </c>
      <c r="M12" t="s">
        <v>24</v>
      </c>
      <c r="N12" t="s">
        <v>25</v>
      </c>
      <c r="O12" t="s">
        <v>26</v>
      </c>
      <c r="P12" t="s">
        <v>60</v>
      </c>
      <c r="Q12" t="s">
        <v>28</v>
      </c>
      <c r="R12">
        <v>90.47</v>
      </c>
      <c r="S12" t="s">
        <v>29</v>
      </c>
      <c r="T12">
        <f t="shared" si="0"/>
        <v>89.991</v>
      </c>
    </row>
    <row r="13" spans="1:20">
      <c r="A13" s="2">
        <v>38000</v>
      </c>
      <c r="B13" t="s">
        <v>61</v>
      </c>
      <c r="C13">
        <v>2</v>
      </c>
      <c r="D13" t="s">
        <v>20</v>
      </c>
      <c r="E13" t="s">
        <v>62</v>
      </c>
      <c r="F13">
        <v>112.697</v>
      </c>
      <c r="G13">
        <v>6.4596906189999999</v>
      </c>
      <c r="H13">
        <v>6.529923889</v>
      </c>
      <c r="I13" t="s">
        <v>22</v>
      </c>
      <c r="J13" t="s">
        <v>23</v>
      </c>
      <c r="K13">
        <v>8</v>
      </c>
      <c r="L13" s="1">
        <v>48989</v>
      </c>
      <c r="M13" t="s">
        <v>24</v>
      </c>
      <c r="N13" t="s">
        <v>25</v>
      </c>
      <c r="O13" t="s">
        <v>26</v>
      </c>
      <c r="P13" t="s">
        <v>63</v>
      </c>
      <c r="Q13" t="s">
        <v>28</v>
      </c>
      <c r="R13">
        <v>113.357</v>
      </c>
      <c r="S13" t="s">
        <v>29</v>
      </c>
      <c r="T13">
        <f t="shared" si="0"/>
        <v>113.027</v>
      </c>
    </row>
    <row r="14" spans="1:20">
      <c r="A14" s="2">
        <v>41590</v>
      </c>
      <c r="B14" t="s">
        <v>64</v>
      </c>
      <c r="C14">
        <v>1</v>
      </c>
      <c r="D14" t="s">
        <v>20</v>
      </c>
      <c r="E14" t="s">
        <v>65</v>
      </c>
      <c r="F14">
        <v>101.73699999999999</v>
      </c>
      <c r="G14">
        <v>1.170887437</v>
      </c>
      <c r="H14">
        <v>1.7390712349999999</v>
      </c>
      <c r="I14" t="s">
        <v>22</v>
      </c>
      <c r="J14" t="s">
        <v>23</v>
      </c>
      <c r="K14">
        <v>4.3499999999999996</v>
      </c>
      <c r="L14" s="1">
        <v>44512</v>
      </c>
      <c r="M14" t="s">
        <v>24</v>
      </c>
      <c r="N14" t="s">
        <v>25</v>
      </c>
      <c r="O14" t="s">
        <v>66</v>
      </c>
      <c r="P14" t="s">
        <v>64</v>
      </c>
      <c r="Q14" t="s">
        <v>28</v>
      </c>
      <c r="R14">
        <v>102.13200000000001</v>
      </c>
      <c r="S14" t="s">
        <v>29</v>
      </c>
      <c r="T14">
        <f t="shared" si="0"/>
        <v>101.9345</v>
      </c>
    </row>
    <row r="15" spans="1:20">
      <c r="A15" s="2">
        <v>42900</v>
      </c>
      <c r="B15" t="s">
        <v>67</v>
      </c>
      <c r="C15">
        <v>1</v>
      </c>
      <c r="D15" t="s">
        <v>20</v>
      </c>
      <c r="E15" t="s">
        <v>68</v>
      </c>
      <c r="F15">
        <v>100.232</v>
      </c>
      <c r="G15">
        <v>3.021338901</v>
      </c>
      <c r="H15">
        <v>3.1884313639999999</v>
      </c>
      <c r="I15" t="s">
        <v>22</v>
      </c>
      <c r="J15" t="s">
        <v>23</v>
      </c>
      <c r="K15">
        <v>3.25</v>
      </c>
      <c r="L15" s="1">
        <v>45822</v>
      </c>
      <c r="M15" t="s">
        <v>24</v>
      </c>
      <c r="N15" t="s">
        <v>25</v>
      </c>
      <c r="O15" t="s">
        <v>66</v>
      </c>
      <c r="P15" t="s">
        <v>67</v>
      </c>
      <c r="Q15" t="s">
        <v>28</v>
      </c>
      <c r="R15">
        <v>100.893</v>
      </c>
      <c r="S15" t="s">
        <v>29</v>
      </c>
      <c r="T15">
        <f t="shared" si="0"/>
        <v>100.5625</v>
      </c>
    </row>
    <row r="16" spans="1:20">
      <c r="A16" s="2">
        <v>43418</v>
      </c>
      <c r="B16" t="s">
        <v>69</v>
      </c>
      <c r="C16">
        <v>1</v>
      </c>
      <c r="D16" t="s">
        <v>20</v>
      </c>
      <c r="E16" t="s">
        <v>70</v>
      </c>
      <c r="F16">
        <v>107.239</v>
      </c>
      <c r="G16">
        <v>3.4651628040000002</v>
      </c>
      <c r="H16">
        <v>3.575071377</v>
      </c>
      <c r="I16" t="s">
        <v>22</v>
      </c>
      <c r="J16" t="s">
        <v>23</v>
      </c>
      <c r="K16">
        <v>5.2</v>
      </c>
      <c r="L16" s="1">
        <v>46069</v>
      </c>
      <c r="M16" t="s">
        <v>24</v>
      </c>
      <c r="N16" t="s">
        <v>25</v>
      </c>
      <c r="O16" t="s">
        <v>66</v>
      </c>
      <c r="P16" t="s">
        <v>69</v>
      </c>
      <c r="Q16" t="s">
        <v>28</v>
      </c>
      <c r="R16">
        <v>107.753</v>
      </c>
      <c r="S16" t="s">
        <v>29</v>
      </c>
      <c r="T16">
        <f t="shared" si="0"/>
        <v>107.49600000000001</v>
      </c>
    </row>
    <row r="17" spans="1:20">
      <c r="A17" s="2">
        <v>43481</v>
      </c>
      <c r="B17" t="s">
        <v>71</v>
      </c>
      <c r="C17">
        <v>2</v>
      </c>
      <c r="D17" t="s">
        <v>20</v>
      </c>
      <c r="E17" t="s">
        <v>72</v>
      </c>
      <c r="F17">
        <v>110.17400000000001</v>
      </c>
      <c r="G17">
        <v>5.9149213429999996</v>
      </c>
      <c r="H17">
        <v>6.022311524</v>
      </c>
      <c r="I17" t="s">
        <v>22</v>
      </c>
      <c r="J17" t="s">
        <v>23</v>
      </c>
      <c r="K17">
        <v>7.625</v>
      </c>
      <c r="L17" s="1">
        <v>47234</v>
      </c>
      <c r="M17" t="s">
        <v>24</v>
      </c>
      <c r="N17" t="s">
        <v>25</v>
      </c>
      <c r="O17" t="s">
        <v>26</v>
      </c>
      <c r="P17" t="s">
        <v>73</v>
      </c>
      <c r="Q17" t="s">
        <v>28</v>
      </c>
      <c r="R17">
        <v>110.902</v>
      </c>
      <c r="S17" t="s">
        <v>29</v>
      </c>
      <c r="T17">
        <f t="shared" si="0"/>
        <v>110.53800000000001</v>
      </c>
    </row>
    <row r="18" spans="1:20">
      <c r="A18" s="2">
        <v>42108</v>
      </c>
      <c r="B18" t="s">
        <v>74</v>
      </c>
      <c r="C18">
        <v>2</v>
      </c>
      <c r="D18" t="s">
        <v>20</v>
      </c>
      <c r="E18" t="s">
        <v>75</v>
      </c>
      <c r="F18">
        <v>96.370999999999995</v>
      </c>
      <c r="G18">
        <v>4.8966455059999996</v>
      </c>
      <c r="H18">
        <v>5.0658177220000002</v>
      </c>
      <c r="I18" t="s">
        <v>22</v>
      </c>
      <c r="J18" t="s">
        <v>23</v>
      </c>
      <c r="K18">
        <v>4.25</v>
      </c>
      <c r="L18" s="1">
        <v>46126</v>
      </c>
      <c r="M18" t="s">
        <v>24</v>
      </c>
      <c r="N18" t="s">
        <v>25</v>
      </c>
      <c r="O18" t="s">
        <v>26</v>
      </c>
      <c r="P18" t="s">
        <v>76</v>
      </c>
      <c r="Q18" t="s">
        <v>28</v>
      </c>
      <c r="R18">
        <v>97.11</v>
      </c>
      <c r="S18" t="s">
        <v>29</v>
      </c>
      <c r="T18">
        <f t="shared" si="0"/>
        <v>96.740499999999997</v>
      </c>
    </row>
    <row r="19" spans="1:20">
      <c r="A19" s="2">
        <v>43874</v>
      </c>
      <c r="B19" t="s">
        <v>77</v>
      </c>
      <c r="C19">
        <v>2</v>
      </c>
      <c r="D19" t="s">
        <v>20</v>
      </c>
      <c r="E19" t="s">
        <v>78</v>
      </c>
      <c r="F19">
        <v>94.623999999999995</v>
      </c>
      <c r="G19">
        <v>5.9341324069999999</v>
      </c>
      <c r="H19">
        <v>6.0319668279999998</v>
      </c>
      <c r="I19" t="s">
        <v>22</v>
      </c>
      <c r="J19" t="s">
        <v>23</v>
      </c>
      <c r="K19">
        <v>5.25</v>
      </c>
      <c r="L19" s="1">
        <v>47555</v>
      </c>
      <c r="M19" t="s">
        <v>24</v>
      </c>
      <c r="N19" t="s">
        <v>25</v>
      </c>
      <c r="O19" t="s">
        <v>26</v>
      </c>
      <c r="P19" t="s">
        <v>79</v>
      </c>
      <c r="Q19" t="s">
        <v>28</v>
      </c>
      <c r="R19">
        <v>95.277000000000001</v>
      </c>
      <c r="S19" t="s">
        <v>29</v>
      </c>
      <c r="T19">
        <f t="shared" si="0"/>
        <v>94.950500000000005</v>
      </c>
    </row>
    <row r="20" spans="1:20">
      <c r="A20" s="2">
        <v>40841</v>
      </c>
      <c r="B20" t="s">
        <v>80</v>
      </c>
      <c r="C20">
        <v>2</v>
      </c>
      <c r="D20" t="s">
        <v>20</v>
      </c>
      <c r="E20" t="s">
        <v>81</v>
      </c>
      <c r="F20">
        <v>101.958</v>
      </c>
      <c r="G20">
        <v>2.6276423219999998</v>
      </c>
      <c r="H20">
        <v>3.2022073679999998</v>
      </c>
      <c r="I20" t="s">
        <v>22</v>
      </c>
      <c r="J20" t="s">
        <v>23</v>
      </c>
      <c r="K20">
        <v>5.125</v>
      </c>
      <c r="L20" s="1">
        <v>44645</v>
      </c>
      <c r="M20" t="s">
        <v>24</v>
      </c>
      <c r="N20" t="s">
        <v>25</v>
      </c>
      <c r="O20" t="s">
        <v>26</v>
      </c>
      <c r="P20" t="s">
        <v>82</v>
      </c>
      <c r="Q20" t="s">
        <v>28</v>
      </c>
      <c r="R20">
        <v>102.55500000000001</v>
      </c>
      <c r="S20" t="s">
        <v>29</v>
      </c>
      <c r="T20">
        <f t="shared" si="0"/>
        <v>102.2565</v>
      </c>
    </row>
    <row r="21" spans="1:20">
      <c r="A21" s="2">
        <v>44118</v>
      </c>
      <c r="B21" t="s">
        <v>83</v>
      </c>
      <c r="C21">
        <v>2</v>
      </c>
      <c r="D21" t="s">
        <v>20</v>
      </c>
      <c r="E21" t="s">
        <v>84</v>
      </c>
      <c r="F21">
        <v>105.771</v>
      </c>
      <c r="G21">
        <v>4.7926365310000003</v>
      </c>
      <c r="H21">
        <v>4.9543713919999997</v>
      </c>
      <c r="I21" t="s">
        <v>22</v>
      </c>
      <c r="J21" t="s">
        <v>23</v>
      </c>
      <c r="K21">
        <v>6.375</v>
      </c>
      <c r="L21" s="1">
        <v>45944</v>
      </c>
      <c r="M21" t="s">
        <v>24</v>
      </c>
      <c r="N21" t="s">
        <v>25</v>
      </c>
      <c r="O21" t="s">
        <v>26</v>
      </c>
      <c r="P21" t="s">
        <v>85</v>
      </c>
      <c r="Q21" t="s">
        <v>42</v>
      </c>
      <c r="R21">
        <v>106.45399999999999</v>
      </c>
      <c r="S21" t="s">
        <v>29</v>
      </c>
      <c r="T21">
        <f t="shared" si="0"/>
        <v>106.1125</v>
      </c>
    </row>
    <row r="22" spans="1:20">
      <c r="A22" s="2">
        <v>43396</v>
      </c>
      <c r="B22" t="s">
        <v>86</v>
      </c>
      <c r="C22">
        <v>2</v>
      </c>
      <c r="D22" t="s">
        <v>20</v>
      </c>
      <c r="E22" t="s">
        <v>87</v>
      </c>
      <c r="F22">
        <v>107.828</v>
      </c>
      <c r="G22">
        <v>4.0159268780000001</v>
      </c>
      <c r="H22">
        <v>4.2407151540000001</v>
      </c>
      <c r="I22" t="s">
        <v>22</v>
      </c>
      <c r="J22" t="s">
        <v>23</v>
      </c>
      <c r="K22">
        <v>7.25</v>
      </c>
      <c r="L22" s="1">
        <v>45283</v>
      </c>
      <c r="M22" t="s">
        <v>24</v>
      </c>
      <c r="N22" t="s">
        <v>25</v>
      </c>
      <c r="O22" t="s">
        <v>26</v>
      </c>
      <c r="P22" t="s">
        <v>88</v>
      </c>
      <c r="Q22" t="s">
        <v>28</v>
      </c>
      <c r="R22">
        <v>108.444</v>
      </c>
      <c r="S22" t="s">
        <v>29</v>
      </c>
      <c r="T22">
        <f t="shared" si="0"/>
        <v>108.136</v>
      </c>
    </row>
    <row r="23" spans="1:20">
      <c r="A23" s="2">
        <v>41289</v>
      </c>
      <c r="B23" t="s">
        <v>89</v>
      </c>
      <c r="C23">
        <v>2</v>
      </c>
      <c r="D23" t="s">
        <v>20</v>
      </c>
      <c r="E23" t="s">
        <v>90</v>
      </c>
      <c r="F23">
        <v>99.179000000000002</v>
      </c>
      <c r="G23">
        <v>3.4538380439999998</v>
      </c>
      <c r="H23">
        <v>3.6710649040000001</v>
      </c>
      <c r="I23" t="s">
        <v>22</v>
      </c>
      <c r="J23" t="s">
        <v>23</v>
      </c>
      <c r="K23">
        <v>3.25</v>
      </c>
      <c r="L23" s="1">
        <v>45008</v>
      </c>
      <c r="M23" t="s">
        <v>24</v>
      </c>
      <c r="N23" t="s">
        <v>25</v>
      </c>
      <c r="O23" t="s">
        <v>26</v>
      </c>
      <c r="P23" t="s">
        <v>91</v>
      </c>
      <c r="Q23" t="s">
        <v>28</v>
      </c>
      <c r="R23">
        <v>99.600999999999999</v>
      </c>
      <c r="S23" t="s">
        <v>29</v>
      </c>
      <c r="T23">
        <f t="shared" si="0"/>
        <v>99.39</v>
      </c>
    </row>
    <row r="24" spans="1:20">
      <c r="A24" s="2">
        <v>43656</v>
      </c>
      <c r="B24" t="s">
        <v>92</v>
      </c>
      <c r="C24">
        <v>2</v>
      </c>
      <c r="D24" t="s">
        <v>20</v>
      </c>
      <c r="E24" t="s">
        <v>93</v>
      </c>
      <c r="F24">
        <v>105.63500000000001</v>
      </c>
      <c r="G24">
        <v>4.3520626440000001</v>
      </c>
      <c r="H24">
        <v>4.5503660039999998</v>
      </c>
      <c r="I24" t="s">
        <v>22</v>
      </c>
      <c r="J24" t="s">
        <v>23</v>
      </c>
      <c r="K24">
        <v>6.35</v>
      </c>
      <c r="L24" s="1">
        <v>45514</v>
      </c>
      <c r="M24" t="s">
        <v>24</v>
      </c>
      <c r="N24" t="s">
        <v>25</v>
      </c>
      <c r="O24" t="s">
        <v>26</v>
      </c>
      <c r="P24" t="s">
        <v>94</v>
      </c>
      <c r="Q24" t="s">
        <v>28</v>
      </c>
      <c r="R24">
        <v>106.28</v>
      </c>
      <c r="S24" t="s">
        <v>29</v>
      </c>
      <c r="T24">
        <f t="shared" si="0"/>
        <v>105.95750000000001</v>
      </c>
    </row>
    <row r="25" spans="1:20">
      <c r="A25" s="2">
        <v>42438</v>
      </c>
      <c r="B25" t="s">
        <v>95</v>
      </c>
      <c r="C25">
        <v>2</v>
      </c>
      <c r="D25" t="s">
        <v>20</v>
      </c>
      <c r="E25" t="s">
        <v>96</v>
      </c>
      <c r="F25">
        <v>98.201999999999998</v>
      </c>
      <c r="G25">
        <v>5.1030087340000003</v>
      </c>
      <c r="H25">
        <v>5.249787263</v>
      </c>
      <c r="I25" t="s">
        <v>22</v>
      </c>
      <c r="J25" t="s">
        <v>23</v>
      </c>
      <c r="K25">
        <v>4.875</v>
      </c>
      <c r="L25" s="1">
        <v>46304</v>
      </c>
      <c r="M25" t="s">
        <v>24</v>
      </c>
      <c r="N25" t="s">
        <v>25</v>
      </c>
      <c r="O25" t="s">
        <v>26</v>
      </c>
      <c r="P25" t="s">
        <v>97</v>
      </c>
      <c r="Q25" t="s">
        <v>28</v>
      </c>
      <c r="R25">
        <v>98.9</v>
      </c>
      <c r="S25" t="s">
        <v>29</v>
      </c>
      <c r="T25">
        <f t="shared" si="0"/>
        <v>98.551000000000002</v>
      </c>
    </row>
    <row r="26" spans="1:20">
      <c r="A26" s="2">
        <v>43117</v>
      </c>
      <c r="B26" t="s">
        <v>98</v>
      </c>
      <c r="C26">
        <v>2</v>
      </c>
      <c r="D26" t="s">
        <v>20</v>
      </c>
      <c r="E26" t="s">
        <v>99</v>
      </c>
      <c r="F26">
        <v>97.623000000000005</v>
      </c>
      <c r="G26">
        <v>5.4504047719999997</v>
      </c>
      <c r="H26">
        <v>5.5416451269999998</v>
      </c>
      <c r="I26" t="s">
        <v>22</v>
      </c>
      <c r="J26" t="s">
        <v>23</v>
      </c>
      <c r="K26">
        <v>5.125</v>
      </c>
      <c r="L26" s="1">
        <v>46800</v>
      </c>
      <c r="M26" t="s">
        <v>24</v>
      </c>
      <c r="N26" t="s">
        <v>25</v>
      </c>
      <c r="O26" t="s">
        <v>26</v>
      </c>
      <c r="P26" t="s">
        <v>100</v>
      </c>
      <c r="Q26" t="s">
        <v>28</v>
      </c>
      <c r="R26">
        <v>98.137</v>
      </c>
      <c r="S26" t="s">
        <v>29</v>
      </c>
      <c r="T26">
        <f t="shared" si="0"/>
        <v>97.88</v>
      </c>
    </row>
    <row r="27" spans="1:20">
      <c r="A27" s="2">
        <v>43874</v>
      </c>
      <c r="B27" t="s">
        <v>101</v>
      </c>
      <c r="C27">
        <v>2</v>
      </c>
      <c r="D27" t="s">
        <v>20</v>
      </c>
      <c r="E27" t="s">
        <v>102</v>
      </c>
      <c r="F27">
        <v>98.200999999999993</v>
      </c>
      <c r="G27">
        <v>4.5579924319999998</v>
      </c>
      <c r="H27">
        <v>4.7477006810000004</v>
      </c>
      <c r="I27" t="s">
        <v>22</v>
      </c>
      <c r="J27" t="s">
        <v>23</v>
      </c>
      <c r="K27">
        <v>4.25</v>
      </c>
      <c r="L27" s="1">
        <v>45729</v>
      </c>
      <c r="M27" t="s">
        <v>24</v>
      </c>
      <c r="N27" t="s">
        <v>25</v>
      </c>
      <c r="O27" t="s">
        <v>26</v>
      </c>
      <c r="P27" t="s">
        <v>103</v>
      </c>
      <c r="Q27" t="s">
        <v>28</v>
      </c>
      <c r="R27">
        <v>98.882000000000005</v>
      </c>
      <c r="S27" t="s">
        <v>29</v>
      </c>
      <c r="T27">
        <f t="shared" si="0"/>
        <v>98.541499999999999</v>
      </c>
    </row>
    <row r="28" spans="1:20">
      <c r="A28" s="2">
        <v>43783</v>
      </c>
      <c r="B28" t="s">
        <v>104</v>
      </c>
      <c r="C28">
        <v>2</v>
      </c>
      <c r="D28" t="s">
        <v>20</v>
      </c>
      <c r="E28" t="s">
        <v>105</v>
      </c>
      <c r="F28">
        <v>103.366</v>
      </c>
      <c r="G28">
        <v>4.3987791930000002</v>
      </c>
      <c r="H28">
        <v>4.5933523090000001</v>
      </c>
      <c r="I28" t="s">
        <v>22</v>
      </c>
      <c r="J28" t="s">
        <v>23</v>
      </c>
      <c r="K28">
        <v>5.6</v>
      </c>
      <c r="L28" s="1">
        <v>45610</v>
      </c>
      <c r="M28" t="s">
        <v>24</v>
      </c>
      <c r="N28" t="s">
        <v>25</v>
      </c>
      <c r="O28" t="s">
        <v>26</v>
      </c>
      <c r="P28" t="s">
        <v>106</v>
      </c>
      <c r="Q28" t="s">
        <v>28</v>
      </c>
      <c r="R28">
        <v>104.03400000000001</v>
      </c>
      <c r="S28" t="s">
        <v>29</v>
      </c>
      <c r="T28">
        <f t="shared" si="0"/>
        <v>103.7</v>
      </c>
    </row>
    <row r="29" spans="1:20">
      <c r="A29" s="2">
        <v>42758</v>
      </c>
      <c r="B29" t="s">
        <v>107</v>
      </c>
      <c r="C29">
        <v>2</v>
      </c>
      <c r="D29" t="s">
        <v>20</v>
      </c>
      <c r="E29" t="s">
        <v>108</v>
      </c>
      <c r="F29">
        <v>102.913</v>
      </c>
      <c r="G29">
        <v>5.2973291089999996</v>
      </c>
      <c r="H29">
        <v>5.4276083740000001</v>
      </c>
      <c r="I29" t="s">
        <v>22</v>
      </c>
      <c r="J29" t="s">
        <v>23</v>
      </c>
      <c r="K29">
        <v>6</v>
      </c>
      <c r="L29" s="1">
        <v>46471</v>
      </c>
      <c r="M29" t="s">
        <v>24</v>
      </c>
      <c r="N29" t="s">
        <v>25</v>
      </c>
      <c r="O29" t="s">
        <v>26</v>
      </c>
      <c r="P29" t="s">
        <v>109</v>
      </c>
      <c r="Q29" t="s">
        <v>28</v>
      </c>
      <c r="R29">
        <v>103.59099999999999</v>
      </c>
      <c r="S29" t="s">
        <v>29</v>
      </c>
      <c r="T29">
        <f t="shared" si="0"/>
        <v>103.252</v>
      </c>
    </row>
    <row r="30" spans="1:20">
      <c r="A30" s="2">
        <v>41740</v>
      </c>
      <c r="B30" t="s">
        <v>110</v>
      </c>
      <c r="C30">
        <v>1</v>
      </c>
      <c r="D30" t="s">
        <v>20</v>
      </c>
      <c r="E30" t="s">
        <v>111</v>
      </c>
      <c r="F30">
        <v>103.372</v>
      </c>
      <c r="G30">
        <v>2.0158215259999999</v>
      </c>
      <c r="H30">
        <v>2.4485758959999999</v>
      </c>
      <c r="I30" t="s">
        <v>22</v>
      </c>
      <c r="J30" t="s">
        <v>23</v>
      </c>
      <c r="K30">
        <v>4.125</v>
      </c>
      <c r="L30" s="1">
        <v>45027</v>
      </c>
      <c r="M30" t="s">
        <v>24</v>
      </c>
      <c r="N30" t="s">
        <v>25</v>
      </c>
      <c r="O30" t="s">
        <v>66</v>
      </c>
      <c r="P30" t="s">
        <v>110</v>
      </c>
      <c r="Q30" t="s">
        <v>28</v>
      </c>
      <c r="R30">
        <v>104.27200000000001</v>
      </c>
      <c r="S30" t="s">
        <v>29</v>
      </c>
      <c r="T30">
        <f t="shared" si="0"/>
        <v>103.822</v>
      </c>
    </row>
    <row r="31" spans="1:20">
      <c r="A31" s="2">
        <v>41668</v>
      </c>
      <c r="B31" t="s">
        <v>112</v>
      </c>
      <c r="C31">
        <v>2</v>
      </c>
      <c r="D31" t="s">
        <v>20</v>
      </c>
      <c r="E31" t="s">
        <v>113</v>
      </c>
      <c r="F31">
        <v>103.81399999999999</v>
      </c>
      <c r="G31">
        <v>4.1635631259999997</v>
      </c>
      <c r="H31">
        <v>4.3936637459999996</v>
      </c>
      <c r="I31" t="s">
        <v>22</v>
      </c>
      <c r="J31" t="s">
        <v>23</v>
      </c>
      <c r="K31">
        <v>5.75</v>
      </c>
      <c r="L31" s="1">
        <v>45373</v>
      </c>
      <c r="M31" t="s">
        <v>24</v>
      </c>
      <c r="N31" t="s">
        <v>25</v>
      </c>
      <c r="O31" t="s">
        <v>26</v>
      </c>
      <c r="P31" t="s">
        <v>114</v>
      </c>
      <c r="Q31" t="s">
        <v>28</v>
      </c>
      <c r="R31">
        <v>104.479</v>
      </c>
      <c r="S31" t="s">
        <v>29</v>
      </c>
      <c r="T31">
        <f t="shared" si="0"/>
        <v>104.1465</v>
      </c>
    </row>
    <row r="32" spans="1:20">
      <c r="A32" s="2">
        <v>39512</v>
      </c>
      <c r="B32" t="s">
        <v>115</v>
      </c>
      <c r="C32">
        <v>2</v>
      </c>
      <c r="D32" t="s">
        <v>20</v>
      </c>
      <c r="E32" t="s">
        <v>116</v>
      </c>
      <c r="F32">
        <v>104.47199999999999</v>
      </c>
      <c r="G32">
        <v>6.73314418</v>
      </c>
      <c r="H32">
        <v>6.8018931460000003</v>
      </c>
      <c r="I32" t="s">
        <v>22</v>
      </c>
      <c r="J32" t="s">
        <v>23</v>
      </c>
      <c r="K32">
        <v>7.25</v>
      </c>
      <c r="L32" s="1">
        <v>50469</v>
      </c>
      <c r="M32" t="s">
        <v>24</v>
      </c>
      <c r="N32" t="s">
        <v>25</v>
      </c>
      <c r="O32" t="s">
        <v>26</v>
      </c>
      <c r="P32" t="s">
        <v>117</v>
      </c>
      <c r="Q32" t="s">
        <v>28</v>
      </c>
      <c r="R32">
        <v>105.18300000000001</v>
      </c>
      <c r="S32" t="s">
        <v>29</v>
      </c>
      <c r="T32">
        <f t="shared" si="0"/>
        <v>104.8275</v>
      </c>
    </row>
    <row r="33" spans="1:20">
      <c r="A33" s="2">
        <v>40190</v>
      </c>
      <c r="B33" t="s">
        <v>118</v>
      </c>
      <c r="C33">
        <v>2</v>
      </c>
      <c r="D33" t="s">
        <v>20</v>
      </c>
      <c r="E33" t="s">
        <v>119</v>
      </c>
      <c r="F33">
        <v>97.537000000000006</v>
      </c>
      <c r="G33">
        <v>6.8956837149999997</v>
      </c>
      <c r="H33">
        <v>6.9833592839999996</v>
      </c>
      <c r="I33" t="s">
        <v>22</v>
      </c>
      <c r="J33" t="s">
        <v>23</v>
      </c>
      <c r="K33">
        <v>6.75</v>
      </c>
      <c r="L33" s="1">
        <v>51286</v>
      </c>
      <c r="M33" t="s">
        <v>24</v>
      </c>
      <c r="N33" t="s">
        <v>25</v>
      </c>
      <c r="O33" t="s">
        <v>26</v>
      </c>
      <c r="P33" t="s">
        <v>120</v>
      </c>
      <c r="Q33" t="s">
        <v>28</v>
      </c>
      <c r="R33">
        <v>98.447000000000003</v>
      </c>
      <c r="S33" t="s">
        <v>29</v>
      </c>
      <c r="T33">
        <f t="shared" si="0"/>
        <v>97.992000000000004</v>
      </c>
    </row>
    <row r="34" spans="1:20">
      <c r="A34" s="2">
        <v>40255</v>
      </c>
      <c r="B34" t="s">
        <v>121</v>
      </c>
      <c r="C34">
        <v>2</v>
      </c>
      <c r="D34" t="s">
        <v>20</v>
      </c>
      <c r="E34" t="s">
        <v>122</v>
      </c>
      <c r="F34">
        <v>100.003</v>
      </c>
      <c r="G34">
        <v>-2.0796278180000001</v>
      </c>
      <c r="H34">
        <v>5.4383005009999996</v>
      </c>
      <c r="I34" t="s">
        <v>22</v>
      </c>
      <c r="J34" t="s">
        <v>23</v>
      </c>
      <c r="K34">
        <v>5.625</v>
      </c>
      <c r="L34" s="1">
        <v>44285</v>
      </c>
      <c r="M34" t="s">
        <v>24</v>
      </c>
      <c r="N34" t="s">
        <v>25</v>
      </c>
      <c r="O34" t="s">
        <v>26</v>
      </c>
      <c r="P34" t="s">
        <v>123</v>
      </c>
      <c r="Q34" t="s">
        <v>28</v>
      </c>
      <c r="R34">
        <v>100.453</v>
      </c>
      <c r="S34" t="s">
        <v>29</v>
      </c>
      <c r="T34">
        <f t="shared" si="0"/>
        <v>100.22800000000001</v>
      </c>
    </row>
    <row r="35" spans="1:20">
      <c r="A35" s="2">
        <v>43214</v>
      </c>
      <c r="B35" t="s">
        <v>124</v>
      </c>
      <c r="C35">
        <v>2</v>
      </c>
      <c r="D35" t="s">
        <v>20</v>
      </c>
      <c r="E35" t="s">
        <v>125</v>
      </c>
      <c r="F35">
        <v>102.523</v>
      </c>
      <c r="G35">
        <v>5.634593218</v>
      </c>
      <c r="H35">
        <v>5.7109045969999999</v>
      </c>
      <c r="I35" t="s">
        <v>22</v>
      </c>
      <c r="J35" t="s">
        <v>23</v>
      </c>
      <c r="K35">
        <v>6.125</v>
      </c>
      <c r="L35" s="1">
        <v>47050</v>
      </c>
      <c r="M35" t="s">
        <v>24</v>
      </c>
      <c r="N35" t="s">
        <v>25</v>
      </c>
      <c r="O35" t="s">
        <v>26</v>
      </c>
      <c r="P35" t="s">
        <v>126</v>
      </c>
      <c r="Q35" t="s">
        <v>28</v>
      </c>
      <c r="R35">
        <v>102.998</v>
      </c>
      <c r="S35" t="s">
        <v>29</v>
      </c>
      <c r="T35">
        <f t="shared" si="0"/>
        <v>102.76050000000001</v>
      </c>
    </row>
    <row r="36" spans="1:20">
      <c r="A36" s="2">
        <v>43496</v>
      </c>
      <c r="B36" t="s">
        <v>127</v>
      </c>
      <c r="C36">
        <v>1</v>
      </c>
      <c r="D36" t="s">
        <v>20</v>
      </c>
      <c r="E36" t="s">
        <v>128</v>
      </c>
      <c r="F36">
        <v>105.313</v>
      </c>
      <c r="G36">
        <v>3.0196717610000001</v>
      </c>
      <c r="H36">
        <v>3.207459133</v>
      </c>
      <c r="I36" t="s">
        <v>22</v>
      </c>
      <c r="J36" t="s">
        <v>23</v>
      </c>
      <c r="K36">
        <v>4.625</v>
      </c>
      <c r="L36" s="1">
        <v>45747</v>
      </c>
      <c r="M36" t="s">
        <v>24</v>
      </c>
      <c r="N36" t="s">
        <v>25</v>
      </c>
      <c r="O36" t="s">
        <v>66</v>
      </c>
      <c r="P36" t="s">
        <v>127</v>
      </c>
      <c r="Q36" t="s">
        <v>28</v>
      </c>
      <c r="R36">
        <v>106.045</v>
      </c>
      <c r="S36" t="s">
        <v>29</v>
      </c>
      <c r="T36">
        <f t="shared" si="0"/>
        <v>105.679</v>
      </c>
    </row>
    <row r="37" spans="1:20">
      <c r="A37" s="2">
        <v>41353</v>
      </c>
      <c r="B37" t="s">
        <v>129</v>
      </c>
      <c r="C37">
        <v>2</v>
      </c>
      <c r="D37" t="s">
        <v>20</v>
      </c>
      <c r="E37" t="s">
        <v>130</v>
      </c>
      <c r="F37">
        <v>86.566000000000003</v>
      </c>
      <c r="G37">
        <v>14.92</v>
      </c>
      <c r="H37">
        <v>15.11</v>
      </c>
      <c r="I37" t="s">
        <v>22</v>
      </c>
      <c r="J37" t="s">
        <v>23</v>
      </c>
      <c r="K37">
        <v>7.1</v>
      </c>
      <c r="L37" s="1">
        <v>44993</v>
      </c>
      <c r="M37" t="s">
        <v>24</v>
      </c>
      <c r="N37" t="s">
        <v>25</v>
      </c>
      <c r="O37" t="s">
        <v>131</v>
      </c>
      <c r="P37" t="s">
        <v>129</v>
      </c>
      <c r="Q37" t="s">
        <v>132</v>
      </c>
      <c r="R37">
        <v>86.867000000000004</v>
      </c>
      <c r="S37" t="s">
        <v>133</v>
      </c>
      <c r="T37">
        <f t="shared" si="0"/>
        <v>86.716499999999996</v>
      </c>
    </row>
    <row r="38" spans="1:20">
      <c r="A38" s="2">
        <v>41740</v>
      </c>
      <c r="B38" t="s">
        <v>134</v>
      </c>
      <c r="C38">
        <v>1</v>
      </c>
      <c r="D38" t="s">
        <v>20</v>
      </c>
      <c r="E38" t="s">
        <v>135</v>
      </c>
      <c r="F38">
        <v>103.628</v>
      </c>
      <c r="G38">
        <v>2.0072235169999999</v>
      </c>
      <c r="H38">
        <v>2.3249087990000001</v>
      </c>
      <c r="I38" t="s">
        <v>22</v>
      </c>
      <c r="J38" t="s">
        <v>23</v>
      </c>
      <c r="K38">
        <v>4.125</v>
      </c>
      <c r="L38" s="1">
        <v>45027</v>
      </c>
      <c r="M38" t="s">
        <v>24</v>
      </c>
      <c r="N38" t="s">
        <v>25</v>
      </c>
      <c r="O38" t="s">
        <v>66</v>
      </c>
      <c r="P38" t="s">
        <v>136</v>
      </c>
      <c r="Q38" t="s">
        <v>28</v>
      </c>
      <c r="R38">
        <v>104.29</v>
      </c>
      <c r="S38" t="s">
        <v>133</v>
      </c>
      <c r="T38">
        <f t="shared" si="0"/>
        <v>103.959</v>
      </c>
    </row>
    <row r="39" spans="1:20">
      <c r="A39" s="2">
        <v>41907</v>
      </c>
      <c r="B39" t="s">
        <v>137</v>
      </c>
      <c r="C39">
        <v>2</v>
      </c>
      <c r="D39" t="s">
        <v>20</v>
      </c>
      <c r="E39" t="s">
        <v>138</v>
      </c>
      <c r="F39">
        <v>99.715000000000003</v>
      </c>
      <c r="G39">
        <v>1.133</v>
      </c>
      <c r="H39">
        <v>1.133</v>
      </c>
      <c r="I39" t="s">
        <v>22</v>
      </c>
      <c r="J39" t="s">
        <v>23</v>
      </c>
      <c r="K39">
        <v>1.05</v>
      </c>
      <c r="L39" s="1">
        <v>45560</v>
      </c>
      <c r="M39" t="s">
        <v>24</v>
      </c>
      <c r="N39" t="s">
        <v>25</v>
      </c>
      <c r="O39" t="s">
        <v>139</v>
      </c>
      <c r="P39" t="s">
        <v>137</v>
      </c>
      <c r="Q39" t="s">
        <v>132</v>
      </c>
      <c r="R39">
        <v>99.715000000000003</v>
      </c>
      <c r="S39" t="s">
        <v>29</v>
      </c>
      <c r="T39">
        <f t="shared" si="0"/>
        <v>99.715000000000003</v>
      </c>
    </row>
    <row r="40" spans="1:20">
      <c r="A40" s="2">
        <v>41590</v>
      </c>
      <c r="B40" t="s">
        <v>140</v>
      </c>
      <c r="C40">
        <v>1</v>
      </c>
      <c r="D40" t="s">
        <v>20</v>
      </c>
      <c r="E40" t="s">
        <v>141</v>
      </c>
      <c r="F40">
        <v>101.313</v>
      </c>
      <c r="G40">
        <v>2.217104119</v>
      </c>
      <c r="H40">
        <v>2.3538331910000001</v>
      </c>
      <c r="I40" t="s">
        <v>22</v>
      </c>
      <c r="J40" t="s">
        <v>23</v>
      </c>
      <c r="K40">
        <v>4.3499999999999996</v>
      </c>
      <c r="L40" s="1">
        <v>44512</v>
      </c>
      <c r="M40" t="s">
        <v>24</v>
      </c>
      <c r="N40" t="s">
        <v>25</v>
      </c>
      <c r="O40" t="s">
        <v>66</v>
      </c>
      <c r="P40" t="s">
        <v>142</v>
      </c>
      <c r="Q40" t="s">
        <v>28</v>
      </c>
      <c r="R40">
        <v>101.407</v>
      </c>
      <c r="S40" t="s">
        <v>133</v>
      </c>
      <c r="T40">
        <f t="shared" si="0"/>
        <v>101.36</v>
      </c>
    </row>
    <row r="41" spans="1:20">
      <c r="A41" s="2">
        <v>42900</v>
      </c>
      <c r="B41" t="s">
        <v>143</v>
      </c>
      <c r="C41">
        <v>1</v>
      </c>
      <c r="D41" t="s">
        <v>20</v>
      </c>
      <c r="E41" t="s">
        <v>144</v>
      </c>
      <c r="F41">
        <v>99.938000000000002</v>
      </c>
      <c r="G41">
        <v>3.190716138</v>
      </c>
      <c r="H41">
        <v>3.2632029130000002</v>
      </c>
      <c r="I41" t="s">
        <v>22</v>
      </c>
      <c r="J41" t="s">
        <v>23</v>
      </c>
      <c r="K41">
        <v>3.25</v>
      </c>
      <c r="L41" s="1">
        <v>45822</v>
      </c>
      <c r="M41" t="s">
        <v>24</v>
      </c>
      <c r="N41" t="s">
        <v>25</v>
      </c>
      <c r="O41" t="s">
        <v>66</v>
      </c>
      <c r="P41" t="s">
        <v>145</v>
      </c>
      <c r="Q41" t="s">
        <v>28</v>
      </c>
      <c r="R41">
        <v>100.223</v>
      </c>
      <c r="S41" t="s">
        <v>133</v>
      </c>
      <c r="T41">
        <f t="shared" si="0"/>
        <v>100.0805</v>
      </c>
    </row>
    <row r="42" spans="1:20">
      <c r="A42" s="2">
        <v>40620</v>
      </c>
      <c r="B42" t="s">
        <v>146</v>
      </c>
      <c r="C42">
        <v>2</v>
      </c>
      <c r="D42" t="s">
        <v>20</v>
      </c>
      <c r="E42" t="s">
        <v>147</v>
      </c>
      <c r="F42">
        <v>100.02800000000001</v>
      </c>
      <c r="G42">
        <v>0.501</v>
      </c>
      <c r="H42">
        <v>0.59199999999999997</v>
      </c>
      <c r="I42" t="s">
        <v>22</v>
      </c>
      <c r="J42" t="s">
        <v>23</v>
      </c>
      <c r="K42">
        <v>1.87</v>
      </c>
      <c r="L42" s="1">
        <v>44273</v>
      </c>
      <c r="M42" t="s">
        <v>24</v>
      </c>
      <c r="N42" t="s">
        <v>25</v>
      </c>
      <c r="O42" t="s">
        <v>139</v>
      </c>
      <c r="P42" t="s">
        <v>146</v>
      </c>
      <c r="Q42" t="s">
        <v>42</v>
      </c>
      <c r="R42">
        <v>100.03</v>
      </c>
      <c r="S42" t="s">
        <v>133</v>
      </c>
      <c r="T42">
        <f t="shared" si="0"/>
        <v>100.029</v>
      </c>
    </row>
    <row r="43" spans="1:20">
      <c r="A43" s="2">
        <v>41311</v>
      </c>
      <c r="B43" t="s">
        <v>148</v>
      </c>
      <c r="C43">
        <v>2</v>
      </c>
      <c r="D43" t="s">
        <v>20</v>
      </c>
      <c r="E43" t="s">
        <v>149</v>
      </c>
      <c r="F43" t="s">
        <v>132</v>
      </c>
      <c r="G43" t="s">
        <v>132</v>
      </c>
      <c r="H43" t="s">
        <v>132</v>
      </c>
      <c r="I43" t="s">
        <v>22</v>
      </c>
      <c r="J43" t="s">
        <v>23</v>
      </c>
      <c r="K43">
        <v>2.68</v>
      </c>
      <c r="L43" s="1">
        <v>48617</v>
      </c>
      <c r="M43" t="s">
        <v>24</v>
      </c>
      <c r="N43" t="s">
        <v>25</v>
      </c>
      <c r="O43" t="s">
        <v>139</v>
      </c>
      <c r="P43" t="s">
        <v>148</v>
      </c>
      <c r="Q43" t="s">
        <v>42</v>
      </c>
      <c r="R43" t="s">
        <v>132</v>
      </c>
      <c r="S43" t="s">
        <v>29</v>
      </c>
      <c r="T43" t="e">
        <f t="shared" si="0"/>
        <v>#VALUE!</v>
      </c>
    </row>
    <row r="44" spans="1:20">
      <c r="A44" s="2">
        <v>40983</v>
      </c>
      <c r="B44" t="s">
        <v>150</v>
      </c>
      <c r="C44">
        <v>2</v>
      </c>
      <c r="D44" t="s">
        <v>20</v>
      </c>
      <c r="E44" t="s">
        <v>151</v>
      </c>
      <c r="F44">
        <v>100.742</v>
      </c>
      <c r="G44">
        <v>0.68200000000000005</v>
      </c>
      <c r="H44">
        <v>0.73199999999999998</v>
      </c>
      <c r="I44" t="s">
        <v>22</v>
      </c>
      <c r="J44" t="s">
        <v>23</v>
      </c>
      <c r="K44">
        <v>1.47</v>
      </c>
      <c r="L44" s="1">
        <v>44635</v>
      </c>
      <c r="M44" t="s">
        <v>24</v>
      </c>
      <c r="N44" t="s">
        <v>25</v>
      </c>
      <c r="O44" t="s">
        <v>139</v>
      </c>
      <c r="P44" t="s">
        <v>150</v>
      </c>
      <c r="Q44" t="s">
        <v>42</v>
      </c>
      <c r="R44">
        <v>100.79300000000001</v>
      </c>
      <c r="S44" t="s">
        <v>133</v>
      </c>
      <c r="T44">
        <f t="shared" si="0"/>
        <v>100.76750000000001</v>
      </c>
    </row>
    <row r="45" spans="1:20">
      <c r="A45" s="2">
        <v>41353</v>
      </c>
      <c r="B45" t="s">
        <v>152</v>
      </c>
      <c r="C45">
        <v>2</v>
      </c>
      <c r="D45" t="s">
        <v>20</v>
      </c>
      <c r="E45" t="s">
        <v>153</v>
      </c>
      <c r="F45" t="s">
        <v>132</v>
      </c>
      <c r="G45" t="s">
        <v>132</v>
      </c>
      <c r="H45" t="s">
        <v>132</v>
      </c>
      <c r="I45" t="s">
        <v>22</v>
      </c>
      <c r="J45" t="s">
        <v>23</v>
      </c>
      <c r="K45">
        <v>7.1</v>
      </c>
      <c r="L45" s="1">
        <v>44993</v>
      </c>
      <c r="M45" t="s">
        <v>24</v>
      </c>
      <c r="N45" t="s">
        <v>25</v>
      </c>
      <c r="O45" t="s">
        <v>131</v>
      </c>
      <c r="P45" t="s">
        <v>154</v>
      </c>
      <c r="Q45" t="s">
        <v>132</v>
      </c>
      <c r="R45" t="s">
        <v>132</v>
      </c>
      <c r="S45" t="s">
        <v>29</v>
      </c>
      <c r="T45" t="e">
        <f t="shared" si="0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9BD1-8360-DF43-A62B-31F41C0194EF}">
  <dimension ref="A1:G45"/>
  <sheetViews>
    <sheetView workbookViewId="0">
      <selection activeCell="I28" sqref="I28"/>
    </sheetView>
  </sheetViews>
  <sheetFormatPr baseColWidth="10" defaultRowHeight="16"/>
  <cols>
    <col min="2" max="2" width="19" bestFit="1" customWidth="1"/>
    <col min="3" max="3" width="22.6640625" bestFit="1" customWidth="1"/>
    <col min="4" max="4" width="8.5" bestFit="1" customWidth="1"/>
    <col min="5" max="5" width="6.6640625" bestFit="1" customWidth="1"/>
    <col min="6" max="6" width="6.5" bestFit="1" customWidth="1"/>
    <col min="7" max="7" width="9.1640625" bestFit="1" customWidth="1"/>
  </cols>
  <sheetData>
    <row r="1" spans="1:7">
      <c r="A1" s="3" t="s">
        <v>155</v>
      </c>
      <c r="B1" s="3" t="s">
        <v>1</v>
      </c>
      <c r="C1" s="3" t="s">
        <v>156</v>
      </c>
      <c r="D1" s="3" t="s">
        <v>157</v>
      </c>
      <c r="E1" s="3" t="s">
        <v>158</v>
      </c>
      <c r="F1" s="3" t="s">
        <v>18</v>
      </c>
      <c r="G1" s="3" t="s">
        <v>159</v>
      </c>
    </row>
    <row r="2" spans="1:7">
      <c r="A2" s="4" t="s">
        <v>160</v>
      </c>
      <c r="B2" s="4" t="s">
        <v>161</v>
      </c>
      <c r="C2" s="4" t="s">
        <v>162</v>
      </c>
      <c r="D2" s="4" t="s">
        <v>163</v>
      </c>
      <c r="E2" s="4" t="s">
        <v>164</v>
      </c>
      <c r="F2" s="4" t="s">
        <v>165</v>
      </c>
      <c r="G2" s="5">
        <v>44319</v>
      </c>
    </row>
    <row r="3" spans="1:7">
      <c r="A3" s="4" t="s">
        <v>166</v>
      </c>
      <c r="B3" s="4" t="s">
        <v>167</v>
      </c>
      <c r="C3" s="4" t="s">
        <v>168</v>
      </c>
      <c r="D3" s="4" t="s">
        <v>169</v>
      </c>
      <c r="E3" s="4" t="s">
        <v>170</v>
      </c>
      <c r="F3" s="4" t="s">
        <v>165</v>
      </c>
      <c r="G3" s="5">
        <v>44319</v>
      </c>
    </row>
    <row r="4" spans="1:7">
      <c r="A4" s="4" t="s">
        <v>171</v>
      </c>
      <c r="B4" s="4" t="s">
        <v>172</v>
      </c>
      <c r="C4" s="4" t="s">
        <v>173</v>
      </c>
      <c r="D4" s="4" t="s">
        <v>174</v>
      </c>
      <c r="E4" s="4" t="s">
        <v>175</v>
      </c>
      <c r="F4" s="4" t="s">
        <v>165</v>
      </c>
      <c r="G4" s="5">
        <v>44319</v>
      </c>
    </row>
    <row r="5" spans="1:7">
      <c r="A5" s="4" t="s">
        <v>176</v>
      </c>
      <c r="B5" s="4" t="s">
        <v>177</v>
      </c>
      <c r="C5" s="4" t="s">
        <v>178</v>
      </c>
      <c r="D5" s="4" t="s">
        <v>179</v>
      </c>
      <c r="E5" s="4" t="s">
        <v>180</v>
      </c>
      <c r="F5" s="4" t="s">
        <v>165</v>
      </c>
      <c r="G5" s="5">
        <v>44319</v>
      </c>
    </row>
    <row r="6" spans="1:7">
      <c r="A6" s="4" t="s">
        <v>181</v>
      </c>
      <c r="B6" s="4" t="s">
        <v>182</v>
      </c>
      <c r="C6" s="4" t="s">
        <v>183</v>
      </c>
      <c r="D6" s="4" t="s">
        <v>184</v>
      </c>
      <c r="E6" s="4" t="s">
        <v>185</v>
      </c>
      <c r="F6" s="4" t="s">
        <v>165</v>
      </c>
      <c r="G6" s="5">
        <v>44319</v>
      </c>
    </row>
    <row r="7" spans="1:7">
      <c r="A7" s="4" t="s">
        <v>186</v>
      </c>
      <c r="B7" s="4" t="s">
        <v>187</v>
      </c>
      <c r="C7" s="4" t="s">
        <v>188</v>
      </c>
      <c r="D7" s="4" t="s">
        <v>189</v>
      </c>
      <c r="E7" s="4" t="s">
        <v>190</v>
      </c>
      <c r="F7" s="4" t="s">
        <v>165</v>
      </c>
      <c r="G7" s="5">
        <v>44319</v>
      </c>
    </row>
    <row r="8" spans="1:7">
      <c r="A8" s="4" t="s">
        <v>191</v>
      </c>
      <c r="B8" s="4" t="s">
        <v>192</v>
      </c>
      <c r="C8" s="4" t="s">
        <v>193</v>
      </c>
      <c r="D8" s="4" t="s">
        <v>194</v>
      </c>
      <c r="E8" s="4" t="s">
        <v>195</v>
      </c>
      <c r="F8" s="4" t="s">
        <v>165</v>
      </c>
      <c r="G8" s="5">
        <v>44319</v>
      </c>
    </row>
    <row r="9" spans="1:7">
      <c r="A9" s="4" t="s">
        <v>196</v>
      </c>
      <c r="B9" s="4" t="s">
        <v>197</v>
      </c>
      <c r="C9" s="4" t="s">
        <v>198</v>
      </c>
      <c r="D9" s="4" t="s">
        <v>199</v>
      </c>
      <c r="E9" s="4" t="s">
        <v>200</v>
      </c>
      <c r="F9" s="4" t="s">
        <v>165</v>
      </c>
      <c r="G9" s="5">
        <v>44319</v>
      </c>
    </row>
    <row r="10" spans="1:7">
      <c r="A10" s="4" t="s">
        <v>201</v>
      </c>
      <c r="B10" s="4" t="s">
        <v>202</v>
      </c>
      <c r="C10" s="4" t="s">
        <v>203</v>
      </c>
      <c r="D10" s="4" t="s">
        <v>204</v>
      </c>
      <c r="E10" s="4" t="s">
        <v>205</v>
      </c>
      <c r="F10" s="4" t="s">
        <v>165</v>
      </c>
      <c r="G10" s="5">
        <v>44319</v>
      </c>
    </row>
    <row r="11" spans="1:7">
      <c r="A11" s="4" t="s">
        <v>206</v>
      </c>
      <c r="B11" s="4" t="s">
        <v>207</v>
      </c>
      <c r="C11" s="4" t="s">
        <v>208</v>
      </c>
      <c r="D11" s="4" t="s">
        <v>209</v>
      </c>
      <c r="E11" s="4" t="s">
        <v>210</v>
      </c>
      <c r="F11" s="4" t="s">
        <v>165</v>
      </c>
      <c r="G11" s="5">
        <v>44319</v>
      </c>
    </row>
    <row r="12" spans="1:7">
      <c r="A12" s="4" t="s">
        <v>211</v>
      </c>
      <c r="B12" s="4" t="s">
        <v>212</v>
      </c>
      <c r="C12" s="4" t="s">
        <v>213</v>
      </c>
      <c r="D12" s="4" t="s">
        <v>214</v>
      </c>
      <c r="E12" s="4" t="s">
        <v>215</v>
      </c>
      <c r="F12" s="4" t="s">
        <v>165</v>
      </c>
      <c r="G12" s="5">
        <v>44319</v>
      </c>
    </row>
    <row r="13" spans="1:7">
      <c r="A13" s="4" t="s">
        <v>216</v>
      </c>
      <c r="B13" s="4" t="s">
        <v>217</v>
      </c>
      <c r="C13" s="4" t="s">
        <v>218</v>
      </c>
      <c r="D13" s="4" t="s">
        <v>219</v>
      </c>
      <c r="E13" s="4" t="s">
        <v>220</v>
      </c>
      <c r="F13" s="4" t="s">
        <v>165</v>
      </c>
      <c r="G13" s="5">
        <v>44319</v>
      </c>
    </row>
    <row r="14" spans="1:7">
      <c r="A14" s="4" t="s">
        <v>221</v>
      </c>
      <c r="B14" s="4" t="s">
        <v>222</v>
      </c>
      <c r="C14" s="4" t="s">
        <v>223</v>
      </c>
      <c r="D14" s="4" t="s">
        <v>224</v>
      </c>
      <c r="E14" s="4" t="s">
        <v>225</v>
      </c>
      <c r="F14" s="4" t="s">
        <v>165</v>
      </c>
      <c r="G14" s="5">
        <v>44319</v>
      </c>
    </row>
    <row r="15" spans="1:7">
      <c r="D15" s="1"/>
    </row>
    <row r="16" spans="1:7">
      <c r="D16" s="1"/>
    </row>
    <row r="17" spans="1:4">
      <c r="D17" s="1"/>
    </row>
    <row r="18" spans="1:4">
      <c r="D18" s="1"/>
    </row>
    <row r="19" spans="1:4">
      <c r="D19" s="1"/>
    </row>
    <row r="20" spans="1:4">
      <c r="D20" s="1"/>
    </row>
    <row r="21" spans="1:4">
      <c r="D21" s="1"/>
    </row>
    <row r="22" spans="1:4">
      <c r="D22" s="1"/>
    </row>
    <row r="23" spans="1:4">
      <c r="D23" s="1"/>
    </row>
    <row r="24" spans="1:4">
      <c r="A24" s="1"/>
      <c r="D24" s="1"/>
    </row>
    <row r="25" spans="1:4">
      <c r="A25" s="1"/>
      <c r="D25" s="1"/>
    </row>
    <row r="26" spans="1:4">
      <c r="D26" s="1"/>
    </row>
    <row r="27" spans="1:4">
      <c r="D27" s="1"/>
    </row>
    <row r="28" spans="1:4">
      <c r="D28" s="1"/>
    </row>
    <row r="29" spans="1:4">
      <c r="D29" s="1"/>
    </row>
    <row r="30" spans="1:4">
      <c r="A30" s="1"/>
      <c r="D30" s="1"/>
    </row>
    <row r="31" spans="1:4">
      <c r="D31" s="1"/>
    </row>
    <row r="32" spans="1:4">
      <c r="A32" s="1"/>
      <c r="D32" s="1"/>
    </row>
    <row r="33" spans="1:4">
      <c r="D33" s="1"/>
    </row>
    <row r="34" spans="1:4">
      <c r="D34" s="1"/>
    </row>
    <row r="35" spans="1:4">
      <c r="D35" s="1"/>
    </row>
    <row r="36" spans="1:4">
      <c r="D36" s="1"/>
    </row>
    <row r="37" spans="1:4">
      <c r="A37" s="1"/>
      <c r="D37" s="1"/>
    </row>
    <row r="38" spans="1:4">
      <c r="A38" s="1"/>
      <c r="D38" s="1"/>
    </row>
    <row r="39" spans="1:4">
      <c r="D39" s="1"/>
    </row>
    <row r="40" spans="1:4">
      <c r="A40" s="1"/>
      <c r="D40" s="1"/>
    </row>
    <row r="41" spans="1:4">
      <c r="D41" s="1"/>
    </row>
    <row r="42" spans="1:4">
      <c r="D42" s="1"/>
    </row>
    <row r="43" spans="1:4">
      <c r="A43" s="1"/>
      <c r="D43" s="1"/>
    </row>
    <row r="44" spans="1:4">
      <c r="D44" s="1"/>
    </row>
    <row r="45" spans="1:4">
      <c r="A45" s="1"/>
      <c r="D4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bonddata</vt:lpstr>
      <vt:lpstr>selectedisin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2021-03-07T09:43:31Z</dcterms:created>
  <dcterms:modified xsi:type="dcterms:W3CDTF">2021-03-07T12:54:56Z</dcterms:modified>
</cp:coreProperties>
</file>